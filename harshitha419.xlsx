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HA\Downloads\"/>
    </mc:Choice>
  </mc:AlternateContent>
  <xr:revisionPtr revIDLastSave="0" documentId="13_ncr:1_{450FDE76-C62E-45CE-9445-933E0340F968}" xr6:coauthVersionLast="47" xr6:coauthVersionMax="47" xr10:uidLastSave="{00000000-0000-0000-0000-000000000000}"/>
  <bookViews>
    <workbookView xWindow="-108" yWindow="-108" windowWidth="23256" windowHeight="13896" xr2:uid="{C9ABC72B-5901-4645-948B-67655EDB1B7A}"/>
  </bookViews>
  <sheets>
    <sheet name="PIVOT TABLE" sheetId="2" r:id="rId1"/>
    <sheet name="DATA SHEET" sheetId="1" r:id="rId2"/>
    <sheet name="dashboard" sheetId="7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" l="1"/>
  <c r="G26" i="1"/>
  <c r="F26" i="1"/>
  <c r="G25" i="1"/>
  <c r="G3" i="1"/>
  <c r="G4" i="1"/>
  <c r="G5" i="1"/>
  <c r="G6" i="1"/>
  <c r="I4" i="1" s="1"/>
  <c r="G7" i="1"/>
  <c r="I6" i="1" s="1"/>
  <c r="G8" i="1"/>
  <c r="I8" i="1" s="1"/>
  <c r="G9" i="1"/>
  <c r="I11" i="1" s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</calcChain>
</file>

<file path=xl/sharedStrings.xml><?xml version="1.0" encoding="utf-8"?>
<sst xmlns="http://schemas.openxmlformats.org/spreadsheetml/2006/main" count="125" uniqueCount="30">
  <si>
    <t>DATE</t>
  </si>
  <si>
    <t>COMPANY</t>
  </si>
  <si>
    <t>BRANCH</t>
  </si>
  <si>
    <t>PRODUCT</t>
  </si>
  <si>
    <t>UNITS</t>
  </si>
  <si>
    <t>UNIT PRICE</t>
  </si>
  <si>
    <t>REVENUE</t>
  </si>
  <si>
    <t>AMUL</t>
  </si>
  <si>
    <t>ARUN</t>
  </si>
  <si>
    <t>DAIRY FUN</t>
  </si>
  <si>
    <t>QUALITY WALLS</t>
  </si>
  <si>
    <t>ONGOLE</t>
  </si>
  <si>
    <t>NRT</t>
  </si>
  <si>
    <t>CPT</t>
  </si>
  <si>
    <t>GUNTUR</t>
  </si>
  <si>
    <t>PDG</t>
  </si>
  <si>
    <t>MILK</t>
  </si>
  <si>
    <t>ICECREAM</t>
  </si>
  <si>
    <t>CURD</t>
  </si>
  <si>
    <t>STP</t>
  </si>
  <si>
    <t>Sum of REVENUE</t>
  </si>
  <si>
    <t>Row Labels</t>
  </si>
  <si>
    <t>Grand Total</t>
  </si>
  <si>
    <t>Sum of UNITS</t>
  </si>
  <si>
    <t>Sum of UNIT PRICE</t>
  </si>
  <si>
    <t>AVERAGE SALES</t>
  </si>
  <si>
    <t>AVERAGE SALES(AMUL)</t>
  </si>
  <si>
    <t>AVERAGE SALES(ARUN)</t>
  </si>
  <si>
    <t>AVERAGE SALES(DAIRY FUN)</t>
  </si>
  <si>
    <t>AVERAGE SALES(QUALITY WALLS)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</si>
</sst>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4A]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3" borderId="2" xfId="0" applyFont="1" applyFill="1" applyBorder="1"/>
    <xf numFmtId="164" fontId="0" fillId="2" borderId="2" xfId="0" applyNumberFormat="1" applyFill="1" applyBorder="1"/>
    <xf numFmtId="0" fontId="0" fillId="0" borderId="2" xfId="0" applyBorder="1"/>
    <xf numFmtId="0" fontId="0" fillId="2" borderId="2" xfId="0" applyFill="1" applyBorder="1"/>
    <xf numFmtId="164" fontId="0" fillId="0" borderId="1" xfId="0" applyNumberFormat="1" applyBorder="1"/>
    <xf numFmtId="164" fontId="0" fillId="0" borderId="2" xfId="0" applyNumberFormat="1" applyBorder="1"/>
  </cellXfs>
  <cellStyles count="1">
    <cellStyle name="Normal" xfId="0" builtinId="0"/>
  </cellStyles>
  <dxfs count="7">
    <dxf>
      <border outline="0">
        <bottom style="thin">
          <color theme="4" tint="0.39997558519241921"/>
        </bottom>
      </border>
    </dxf>
    <dxf>
      <numFmt numFmtId="164" formatCode="[$₹-44A]#,##0.00"/>
    </dxf>
    <dxf>
      <numFmt numFmtId="164" formatCode="[$₹-44A]#,##0.00"/>
    </dxf>
    <dxf>
      <numFmt numFmtId="164" formatCode="[$₹-44A]#,##0.00"/>
    </dxf>
    <dxf>
      <numFmt numFmtId="164" formatCode="[$₹-44A]#,##0.00"/>
    </dxf>
    <dxf>
      <numFmt numFmtId="165" formatCode="m/d/yyyy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[harshitha419.xlsx]PIVOT TABLE!PivotTable1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'PIVOT TABLE'!$A$4:$A$10</c:f>
              <c:strCache>
                <c:ptCount val="6"/>
                <c:pt idx="0">
                  <c:v>CPT</c:v>
                </c:pt>
                <c:pt idx="1">
                  <c:v>GUNTUR</c:v>
                </c:pt>
                <c:pt idx="2">
                  <c:v>NRT</c:v>
                </c:pt>
                <c:pt idx="3">
                  <c:v>ONGOLE</c:v>
                </c:pt>
                <c:pt idx="4">
                  <c:v>PDG</c:v>
                </c:pt>
                <c:pt idx="5">
                  <c:v>STP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1885</c:v>
                </c:pt>
                <c:pt idx="1">
                  <c:v>2112</c:v>
                </c:pt>
                <c:pt idx="2">
                  <c:v>2300</c:v>
                </c:pt>
                <c:pt idx="3">
                  <c:v>890</c:v>
                </c:pt>
                <c:pt idx="4">
                  <c:v>1775</c:v>
                </c:pt>
                <c:pt idx="5">
                  <c:v>2163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2-4F04-AAB8-886C1890A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87239704"/>
        <c:axId val="587241864"/>
      </c:barChart>
      <c:catAx>
        <c:axId val="587239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41864"/>
        <c:crosses val="autoZero"/>
        <c:auto val="1"/>
        <c:lblAlgn val="ctr"/>
        <c:lblOffset val="100"/>
        <c:noMultiLvlLbl val="0"/>
      </c:catAx>
      <c:valAx>
        <c:axId val="587241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3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[harshitha419.xlsx]PIVOT TABLE!PivotTable3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'PIVOT TABLE'!$D$4:$D$7</c:f>
              <c:strCache>
                <c:ptCount val="3"/>
                <c:pt idx="0">
                  <c:v>CURD</c:v>
                </c:pt>
                <c:pt idx="1">
                  <c:v>ICECREAM</c:v>
                </c:pt>
                <c:pt idx="2">
                  <c:v>MILK</c:v>
                </c:pt>
              </c:strCache>
            </c:strRef>
          </c:cat>
          <c:val>
            <c:numRef>
              <c:f>'PIVOT TABLE'!$E$4:$E$7</c:f>
              <c:numCache>
                <c:formatCode>[$₹-44A]#,##0.00</c:formatCode>
                <c:ptCount val="3"/>
                <c:pt idx="0">
                  <c:v>238</c:v>
                </c:pt>
                <c:pt idx="1">
                  <c:v>390</c:v>
                </c:pt>
                <c:pt idx="2">
                  <c:v>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4-4225-BECA-AC7229C79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369067152"/>
        <c:axId val="1180630216"/>
      </c:lineChart>
      <c:catAx>
        <c:axId val="36906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630216"/>
        <c:crosses val="autoZero"/>
        <c:auto val="1"/>
        <c:lblAlgn val="ctr"/>
        <c:lblOffset val="100"/>
        <c:noMultiLvlLbl val="0"/>
      </c:catAx>
      <c:valAx>
        <c:axId val="1180630216"/>
        <c:scaling>
          <c:orientation val="minMax"/>
        </c:scaling>
        <c:delete val="0"/>
        <c:axPos val="l"/>
        <c:numFmt formatCode="[$₹-44A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6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[harshitha419.xlsx]PIVOT TABLE!PivotTable5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CB1-4E2D-BFAB-9F7274D190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B1-4E2D-BFAB-9F7274D190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CB1-4E2D-BFAB-9F7274D190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CB1-4E2D-BFAB-9F7274D190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TABLE'!$H$4:$H$8</c:f>
              <c:strCache>
                <c:ptCount val="4"/>
                <c:pt idx="0">
                  <c:v>AMUL</c:v>
                </c:pt>
                <c:pt idx="1">
                  <c:v>ARUN</c:v>
                </c:pt>
                <c:pt idx="2">
                  <c:v>DAIRY FUN</c:v>
                </c:pt>
                <c:pt idx="3">
                  <c:v>QUALITY WALLS</c:v>
                </c:pt>
              </c:strCache>
            </c:strRef>
          </c:cat>
          <c:val>
            <c:numRef>
              <c:f>'PIVOT TABLE'!$I$4:$I$8</c:f>
              <c:numCache>
                <c:formatCode>General</c:formatCode>
                <c:ptCount val="4"/>
                <c:pt idx="0">
                  <c:v>2762</c:v>
                </c:pt>
                <c:pt idx="1">
                  <c:v>2791</c:v>
                </c:pt>
                <c:pt idx="2">
                  <c:v>2664</c:v>
                </c:pt>
                <c:pt idx="3">
                  <c:v>2908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3-4A33-AF97-F2130F18492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[harshitha419.xlsx]PIVOT TABLE!PivotTable9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TABLE'!$L$4:$L$20</c:f>
              <c:multiLvlStrCache>
                <c:ptCount val="12"/>
                <c:lvl>
                  <c:pt idx="0">
                    <c:v>CURD</c:v>
                  </c:pt>
                  <c:pt idx="1">
                    <c:v>ICECREAM</c:v>
                  </c:pt>
                  <c:pt idx="2">
                    <c:v>MILK</c:v>
                  </c:pt>
                  <c:pt idx="3">
                    <c:v>CURD</c:v>
                  </c:pt>
                  <c:pt idx="4">
                    <c:v>ICECREAM</c:v>
                  </c:pt>
                  <c:pt idx="5">
                    <c:v>MILK</c:v>
                  </c:pt>
                  <c:pt idx="6">
                    <c:v>CURD</c:v>
                  </c:pt>
                  <c:pt idx="7">
                    <c:v>ICECREAM</c:v>
                  </c:pt>
                  <c:pt idx="8">
                    <c:v>MILK</c:v>
                  </c:pt>
                  <c:pt idx="9">
                    <c:v>CURD</c:v>
                  </c:pt>
                  <c:pt idx="10">
                    <c:v>ICECREAM</c:v>
                  </c:pt>
                  <c:pt idx="11">
                    <c:v>MILK</c:v>
                  </c:pt>
                </c:lvl>
                <c:lvl>
                  <c:pt idx="0">
                    <c:v>AMUL</c:v>
                  </c:pt>
                  <c:pt idx="3">
                    <c:v>ARUN</c:v>
                  </c:pt>
                  <c:pt idx="6">
                    <c:v>DAIRY FUN</c:v>
                  </c:pt>
                  <c:pt idx="9">
                    <c:v>QUALITY WALLS</c:v>
                  </c:pt>
                </c:lvl>
              </c:multiLvlStrCache>
            </c:multiLvlStrRef>
          </c:cat>
          <c:val>
            <c:numRef>
              <c:f>'PIVOT TABLE'!$M$4:$M$20</c:f>
              <c:numCache>
                <c:formatCode>[$₹-44A]#,##0.00</c:formatCode>
                <c:ptCount val="12"/>
                <c:pt idx="0">
                  <c:v>46530</c:v>
                </c:pt>
                <c:pt idx="1">
                  <c:v>34965</c:v>
                </c:pt>
                <c:pt idx="2">
                  <c:v>15624</c:v>
                </c:pt>
                <c:pt idx="3">
                  <c:v>38541</c:v>
                </c:pt>
                <c:pt idx="4">
                  <c:v>44450</c:v>
                </c:pt>
                <c:pt idx="5">
                  <c:v>18336</c:v>
                </c:pt>
                <c:pt idx="6">
                  <c:v>20340</c:v>
                </c:pt>
                <c:pt idx="7">
                  <c:v>43960</c:v>
                </c:pt>
                <c:pt idx="8">
                  <c:v>29271</c:v>
                </c:pt>
                <c:pt idx="9">
                  <c:v>14700</c:v>
                </c:pt>
                <c:pt idx="10">
                  <c:v>78600</c:v>
                </c:pt>
                <c:pt idx="11">
                  <c:v>38780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3C-4FF1-87E7-858F63975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270352"/>
        <c:axId val="1506266032"/>
      </c:lineChart>
      <c:catAx>
        <c:axId val="150627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266032"/>
        <c:crosses val="autoZero"/>
        <c:auto val="1"/>
        <c:lblAlgn val="ctr"/>
        <c:lblOffset val="100"/>
        <c:noMultiLvlLbl val="0"/>
      </c:catAx>
      <c:valAx>
        <c:axId val="15062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A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27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'DATA SHEET'!$I$3:$I$10</c:f>
              <c:strCache>
                <c:ptCount val="8"/>
                <c:pt idx="0">
                  <c:v>AVERAGE SALES(AMUL)</c:v>
                </c:pt>
                <c:pt idx="1">
                  <c:v>₹16,186.50</c:v>
                </c:pt>
                <c:pt idx="2">
                  <c:v>AVERAGE SALES(ARUN)</c:v>
                </c:pt>
                <c:pt idx="3">
                  <c:v>₹14,475.29</c:v>
                </c:pt>
                <c:pt idx="4">
                  <c:v>AVERAGE SALES(DAIRY FUN)</c:v>
                </c:pt>
                <c:pt idx="5">
                  <c:v>₹15,595.17</c:v>
                </c:pt>
                <c:pt idx="7">
                  <c:v>AVERAGE SALES(QUALITY WALLS)</c:v>
                </c:pt>
              </c:strCache>
            </c:strRef>
          </c:tx>
          <c:invertIfNegative val="0"/>
          <c:val>
            <c:numRef>
              <c:f>'DATA SHEET'!$I$11</c:f>
              <c:numCache>
                <c:formatCode>[$₹-44A]#,##0.00</c:formatCode>
                <c:ptCount val="1"/>
                <c:pt idx="0">
                  <c:v>22013.333333333332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C5-49FC-8144-2989A779F506}"/>
            </c:ext>
          </c:extLst>
        </c:ser>
        <c:ser>
          <c:idx val="0"/>
          <c:order val="1"/>
          <c:tx>
            <c:strRef>
              <c:f>'DATA SHEET'!$I$2</c:f>
              <c:strCache>
                <c:ptCount val="1"/>
                <c:pt idx="0">
                  <c:v>AVERAGE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'DATA SHEET'!$I$3:$I$11</c:f>
              <c:numCache>
                <c:formatCode>[$₹-44A]#,##0.00</c:formatCode>
                <c:ptCount val="9"/>
                <c:pt idx="0" formatCode="General">
                  <c:v>0</c:v>
                </c:pt>
                <c:pt idx="1">
                  <c:v>16186.5</c:v>
                </c:pt>
                <c:pt idx="2" formatCode="General">
                  <c:v>0</c:v>
                </c:pt>
                <c:pt idx="3">
                  <c:v>14475.285714285714</c:v>
                </c:pt>
                <c:pt idx="4" formatCode="General">
                  <c:v>0</c:v>
                </c:pt>
                <c:pt idx="5">
                  <c:v>15595.166666666666</c:v>
                </c:pt>
                <c:pt idx="7" formatCode="General">
                  <c:v>0</c:v>
                </c:pt>
                <c:pt idx="8">
                  <c:v>22013.333333333332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C5-49FC-8144-2989A779F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2209760"/>
        <c:axId val="1332215880"/>
      </c:barChart>
      <c:catAx>
        <c:axId val="133220976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15880"/>
        <c:crosses val="autoZero"/>
        <c:auto val="1"/>
        <c:lblAlgn val="ctr"/>
        <c:lblOffset val="100"/>
        <c:noMultiLvlLbl val="0"/>
      </c:catAx>
      <c:valAx>
        <c:axId val="1332215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A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0976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SHEET'!$I$2</c:f>
              <c:strCache>
                <c:ptCount val="1"/>
                <c:pt idx="0">
                  <c:v>AVERAGE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'DATA SHEET'!$I$3:$I$11</c:f>
              <c:numCache>
                <c:formatCode>[$₹-44A]#,##0.00</c:formatCode>
                <c:ptCount val="9"/>
                <c:pt idx="0" formatCode="General">
                  <c:v>0</c:v>
                </c:pt>
                <c:pt idx="1">
                  <c:v>16186.5</c:v>
                </c:pt>
                <c:pt idx="2" formatCode="General">
                  <c:v>0</c:v>
                </c:pt>
                <c:pt idx="3">
                  <c:v>14475.285714285714</c:v>
                </c:pt>
                <c:pt idx="4" formatCode="General">
                  <c:v>0</c:v>
                </c:pt>
                <c:pt idx="5">
                  <c:v>15595.166666666666</c:v>
                </c:pt>
                <c:pt idx="7" formatCode="General">
                  <c:v>0</c:v>
                </c:pt>
                <c:pt idx="8">
                  <c:v>22013.333333333332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3-478B-A34D-1CBDD7C6A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2209760"/>
        <c:axId val="1332215880"/>
      </c:barChart>
      <c:catAx>
        <c:axId val="133220976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15880"/>
        <c:crosses val="autoZero"/>
        <c:auto val="1"/>
        <c:lblAlgn val="ctr"/>
        <c:lblOffset val="100"/>
        <c:noMultiLvlLbl val="0"/>
      </c:catAx>
      <c:valAx>
        <c:axId val="1332215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0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[harshitha419.xlsx]PIVOT TABLE!PivotTable1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'PIVOT TABLE'!$A$4:$A$10</c:f>
              <c:strCache>
                <c:ptCount val="6"/>
                <c:pt idx="0">
                  <c:v>CPT</c:v>
                </c:pt>
                <c:pt idx="1">
                  <c:v>GUNTUR</c:v>
                </c:pt>
                <c:pt idx="2">
                  <c:v>NRT</c:v>
                </c:pt>
                <c:pt idx="3">
                  <c:v>ONGOLE</c:v>
                </c:pt>
                <c:pt idx="4">
                  <c:v>PDG</c:v>
                </c:pt>
                <c:pt idx="5">
                  <c:v>STP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1885</c:v>
                </c:pt>
                <c:pt idx="1">
                  <c:v>2112</c:v>
                </c:pt>
                <c:pt idx="2">
                  <c:v>2300</c:v>
                </c:pt>
                <c:pt idx="3">
                  <c:v>890</c:v>
                </c:pt>
                <c:pt idx="4">
                  <c:v>1775</c:v>
                </c:pt>
                <c:pt idx="5">
                  <c:v>2163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A-4D0D-83D6-CF5E8549E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87239704"/>
        <c:axId val="587241864"/>
      </c:barChart>
      <c:catAx>
        <c:axId val="587239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41864"/>
        <c:crosses val="autoZero"/>
        <c:auto val="1"/>
        <c:lblAlgn val="ctr"/>
        <c:lblOffset val="100"/>
        <c:noMultiLvlLbl val="0"/>
      </c:catAx>
      <c:valAx>
        <c:axId val="587241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3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[harshitha419.xlsx]PIVOT TABLE!PivotTable3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'PIVOT TABLE'!$D$4:$D$7</c:f>
              <c:strCache>
                <c:ptCount val="3"/>
                <c:pt idx="0">
                  <c:v>CURD</c:v>
                </c:pt>
                <c:pt idx="1">
                  <c:v>ICECREAM</c:v>
                </c:pt>
                <c:pt idx="2">
                  <c:v>MILK</c:v>
                </c:pt>
              </c:strCache>
            </c:strRef>
          </c:cat>
          <c:val>
            <c:numRef>
              <c:f>'PIVOT TABLE'!$E$4:$E$7</c:f>
              <c:numCache>
                <c:formatCode>[$₹-44A]#,##0.00</c:formatCode>
                <c:ptCount val="3"/>
                <c:pt idx="0">
                  <c:v>238</c:v>
                </c:pt>
                <c:pt idx="1">
                  <c:v>390</c:v>
                </c:pt>
                <c:pt idx="2">
                  <c:v>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1-47C3-9529-0F1F034FE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369067152"/>
        <c:axId val="1180630216"/>
      </c:lineChart>
      <c:catAx>
        <c:axId val="36906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630216"/>
        <c:crosses val="autoZero"/>
        <c:auto val="1"/>
        <c:lblAlgn val="ctr"/>
        <c:lblOffset val="100"/>
        <c:noMultiLvlLbl val="0"/>
      </c:catAx>
      <c:valAx>
        <c:axId val="1180630216"/>
        <c:scaling>
          <c:orientation val="minMax"/>
        </c:scaling>
        <c:delete val="0"/>
        <c:axPos val="l"/>
        <c:numFmt formatCode="[$₹-44A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6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[harshitha419.xlsx]PIVOT TABLE!PivotTable5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D3-4F00-9FF0-DB85F082E7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D3-4F00-9FF0-DB85F082E7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D3-4F00-9FF0-DB85F082E7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AD3-4F00-9FF0-DB85F082E7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TABLE'!$H$4:$H$8</c:f>
              <c:strCache>
                <c:ptCount val="4"/>
                <c:pt idx="0">
                  <c:v>AMUL</c:v>
                </c:pt>
                <c:pt idx="1">
                  <c:v>ARUN</c:v>
                </c:pt>
                <c:pt idx="2">
                  <c:v>DAIRY FUN</c:v>
                </c:pt>
                <c:pt idx="3">
                  <c:v>QUALITY WALLS</c:v>
                </c:pt>
              </c:strCache>
            </c:strRef>
          </c:cat>
          <c:val>
            <c:numRef>
              <c:f>'PIVOT TABLE'!$I$4:$I$8</c:f>
              <c:numCache>
                <c:formatCode>General</c:formatCode>
                <c:ptCount val="4"/>
                <c:pt idx="0">
                  <c:v>2762</c:v>
                </c:pt>
                <c:pt idx="1">
                  <c:v>2791</c:v>
                </c:pt>
                <c:pt idx="2">
                  <c:v>2664</c:v>
                </c:pt>
                <c:pt idx="3">
                  <c:v>2908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D3-4F00-9FF0-DB85F082E78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[harshitha419.xlsx]PIVOT TABLE!PivotTable9</c:name>
    <c:fmtId val="3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TABLE'!$L$4:$L$20</c:f>
              <c:multiLvlStrCache>
                <c:ptCount val="12"/>
                <c:lvl>
                  <c:pt idx="0">
                    <c:v>CURD</c:v>
                  </c:pt>
                  <c:pt idx="1">
                    <c:v>ICECREAM</c:v>
                  </c:pt>
                  <c:pt idx="2">
                    <c:v>MILK</c:v>
                  </c:pt>
                  <c:pt idx="3">
                    <c:v>CURD</c:v>
                  </c:pt>
                  <c:pt idx="4">
                    <c:v>ICECREAM</c:v>
                  </c:pt>
                  <c:pt idx="5">
                    <c:v>MILK</c:v>
                  </c:pt>
                  <c:pt idx="6">
                    <c:v>CURD</c:v>
                  </c:pt>
                  <c:pt idx="7">
                    <c:v>ICECREAM</c:v>
                  </c:pt>
                  <c:pt idx="8">
                    <c:v>MILK</c:v>
                  </c:pt>
                  <c:pt idx="9">
                    <c:v>CURD</c:v>
                  </c:pt>
                  <c:pt idx="10">
                    <c:v>ICECREAM</c:v>
                  </c:pt>
                  <c:pt idx="11">
                    <c:v>MILK</c:v>
                  </c:pt>
                </c:lvl>
                <c:lvl>
                  <c:pt idx="0">
                    <c:v>AMUL</c:v>
                  </c:pt>
                  <c:pt idx="3">
                    <c:v>ARUN</c:v>
                  </c:pt>
                  <c:pt idx="6">
                    <c:v>DAIRY FUN</c:v>
                  </c:pt>
                  <c:pt idx="9">
                    <c:v>QUALITY WALLS</c:v>
                  </c:pt>
                </c:lvl>
              </c:multiLvlStrCache>
            </c:multiLvlStrRef>
          </c:cat>
          <c:val>
            <c:numRef>
              <c:f>'PIVOT TABLE'!$M$4:$M$20</c:f>
              <c:numCache>
                <c:formatCode>[$₹-44A]#,##0.00</c:formatCode>
                <c:ptCount val="12"/>
                <c:pt idx="0">
                  <c:v>46530</c:v>
                </c:pt>
                <c:pt idx="1">
                  <c:v>34965</c:v>
                </c:pt>
                <c:pt idx="2">
                  <c:v>15624</c:v>
                </c:pt>
                <c:pt idx="3">
                  <c:v>38541</c:v>
                </c:pt>
                <c:pt idx="4">
                  <c:v>44450</c:v>
                </c:pt>
                <c:pt idx="5">
                  <c:v>18336</c:v>
                </c:pt>
                <c:pt idx="6">
                  <c:v>20340</c:v>
                </c:pt>
                <c:pt idx="7">
                  <c:v>43960</c:v>
                </c:pt>
                <c:pt idx="8">
                  <c:v>29271</c:v>
                </c:pt>
                <c:pt idx="9">
                  <c:v>14700</c:v>
                </c:pt>
                <c:pt idx="10">
                  <c:v>78600</c:v>
                </c:pt>
                <c:pt idx="11">
                  <c:v>38780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3-417A-9790-C6EC711BE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270352"/>
        <c:axId val="1506266032"/>
      </c:lineChart>
      <c:catAx>
        <c:axId val="150627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266032"/>
        <c:crosses val="autoZero"/>
        <c:auto val="1"/>
        <c:lblAlgn val="ctr"/>
        <c:lblOffset val="100"/>
        <c:noMultiLvlLbl val="0"/>
      </c:catAx>
      <c:valAx>
        <c:axId val="15062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A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27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10</xdr:row>
      <xdr:rowOff>63500</xdr:rowOff>
    </xdr:from>
    <xdr:to>
      <xdr:col>3</xdr:col>
      <xdr:colOff>12700</xdr:colOff>
      <xdr:row>21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8A0BD-EB17-3C89-75FC-3BD5D6A03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234950</xdr:colOff>
      <xdr:row>7</xdr:row>
      <xdr:rowOff>127000</xdr:rowOff>
    </xdr:from>
    <xdr:to>
      <xdr:col>6</xdr:col>
      <xdr:colOff>44450</xdr:colOff>
      <xdr:row>17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C7BFA5-DBA3-E5E5-8541-42E0EEB57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209550</xdr:colOff>
      <xdr:row>8</xdr:row>
      <xdr:rowOff>44450</xdr:rowOff>
    </xdr:from>
    <xdr:to>
      <xdr:col>9</xdr:col>
      <xdr:colOff>603250</xdr:colOff>
      <xdr:row>17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4786A2-48BE-D6FF-4103-9BC23A49B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508000</xdr:colOff>
      <xdr:row>20</xdr:row>
      <xdr:rowOff>158750</xdr:rowOff>
    </xdr:from>
    <xdr:to>
      <xdr:col>15</xdr:col>
      <xdr:colOff>44450</xdr:colOff>
      <xdr:row>35</xdr:row>
      <xdr:rowOff>139700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16F1B3-5321-F392-2296-F3A8DA4E7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444500</xdr:colOff>
      <xdr:row>0</xdr:row>
      <xdr:rowOff>152400</xdr:rowOff>
    </xdr:from>
    <xdr:to>
      <xdr:col>16</xdr:col>
      <xdr:colOff>558800</xdr:colOff>
      <xdr:row>3</xdr:row>
      <xdr:rowOff>165100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415B198-DC53-07AC-DF67-315A61A2ECF2}"/>
            </a:ext>
          </a:extLst>
        </xdr:cNvPr>
        <xdr:cNvSpPr/>
      </xdr:nvSpPr>
      <xdr:spPr>
        <a:xfrm>
          <a:off x="1663700" y="152400"/>
          <a:ext cx="8648700" cy="5651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		</a:t>
          </a:r>
          <a:r>
            <a:rPr lang="en-US" sz="1800">
              <a:solidFill>
                <a:schemeClr val="accent1"/>
              </a:solidFill>
              <a:latin typeface="Arial Black" panose="020B0A04020102020204" pitchFamily="34" charset="0"/>
            </a:rPr>
            <a:t>SALES 2020 OF DIFFERENT COMPANIES</a:t>
          </a:r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10</xdr:col>
      <xdr:colOff>415925</xdr:colOff>
      <xdr:row>38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558B66-4D13-4061-9EB7-56E90D236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393700</xdr:colOff>
      <xdr:row>9</xdr:row>
      <xdr:rowOff>69850</xdr:rowOff>
    </xdr:from>
    <xdr:to>
      <xdr:col>16</xdr:col>
      <xdr:colOff>180975</xdr:colOff>
      <xdr:row>17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E77B2D-F855-4FEB-AEFE-AE61EC5E3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577850</xdr:colOff>
      <xdr:row>5</xdr:row>
      <xdr:rowOff>0</xdr:rowOff>
    </xdr:from>
    <xdr:to>
      <xdr:col>6</xdr:col>
      <xdr:colOff>228600</xdr:colOff>
      <xdr:row>8</xdr:row>
      <xdr:rowOff>50800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DB5F1275-073C-392F-E68C-287C1EB6E40F}"/>
            </a:ext>
          </a:extLst>
        </xdr:cNvPr>
        <xdr:cNvGrpSpPr/>
      </xdr:nvGrpSpPr>
      <xdr:grpSpPr>
        <a:xfrm>
          <a:off x="1797050" y="914400"/>
          <a:ext cx="2089150" cy="599440"/>
          <a:chOff x="1797050" y="920750"/>
          <a:chExt cx="2089150" cy="603250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7F903C2D-A1F1-A7C9-7AC9-EACD4DA5E677}"/>
              </a:ext>
            </a:extLst>
          </xdr:cNvPr>
          <xdr:cNvSpPr/>
        </xdr:nvSpPr>
        <xdr:spPr>
          <a:xfrm>
            <a:off x="1797050" y="920750"/>
            <a:ext cx="2089150" cy="59690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	TOTAL UNITS</a:t>
            </a:r>
          </a:p>
          <a:p>
            <a:pPr algn="l"/>
            <a:r>
              <a:rPr lang="en-US" sz="1100"/>
              <a:t>	=</a:t>
            </a:r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3518BE9A-FC15-A26B-DF73-4F608C0A7DB7}"/>
              </a:ext>
            </a:extLst>
          </xdr:cNvPr>
          <xdr:cNvSpPr/>
        </xdr:nvSpPr>
        <xdr:spPr>
          <a:xfrm>
            <a:off x="1797050" y="927100"/>
            <a:ext cx="730250" cy="59690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0</xdr:colOff>
      <xdr:row>5</xdr:row>
      <xdr:rowOff>0</xdr:rowOff>
    </xdr:from>
    <xdr:to>
      <xdr:col>18</xdr:col>
      <xdr:colOff>260350</xdr:colOff>
      <xdr:row>8</xdr:row>
      <xdr:rowOff>44450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917211B1-AB67-715C-A432-D29A9A5A6D41}"/>
            </a:ext>
          </a:extLst>
        </xdr:cNvPr>
        <xdr:cNvGrpSpPr/>
      </xdr:nvGrpSpPr>
      <xdr:grpSpPr>
        <a:xfrm>
          <a:off x="4267200" y="914400"/>
          <a:ext cx="6965950" cy="593090"/>
          <a:chOff x="4267200" y="920750"/>
          <a:chExt cx="6965950" cy="596900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940A5C46-4C52-4F54-A431-033B40AF2819}"/>
              </a:ext>
            </a:extLst>
          </xdr:cNvPr>
          <xdr:cNvSpPr/>
        </xdr:nvSpPr>
        <xdr:spPr>
          <a:xfrm>
            <a:off x="9144000" y="920750"/>
            <a:ext cx="2089150" cy="59690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aseline="0"/>
              <a:t>                       </a:t>
            </a:r>
            <a:r>
              <a:rPr lang="en-US" sz="1100"/>
              <a:t>TOTAL REVENUE</a:t>
            </a:r>
          </a:p>
        </xdr:txBody>
      </xdr: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5B8ECE33-8BB6-C78B-07BC-2AB68D4BE627}"/>
              </a:ext>
            </a:extLst>
          </xdr:cNvPr>
          <xdr:cNvGrpSpPr/>
        </xdr:nvGrpSpPr>
        <xdr:grpSpPr>
          <a:xfrm>
            <a:off x="4267200" y="920750"/>
            <a:ext cx="4527550" cy="596900"/>
            <a:chOff x="4267200" y="920750"/>
            <a:chExt cx="4527550" cy="596900"/>
          </a:xfrm>
        </xdr:grpSpPr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15B36E4C-031F-4B62-894E-31F2310ABDF1}"/>
                </a:ext>
              </a:extLst>
            </xdr:cNvPr>
            <xdr:cNvSpPr/>
          </xdr:nvSpPr>
          <xdr:spPr>
            <a:xfrm>
              <a:off x="6705600" y="920750"/>
              <a:ext cx="2089150" cy="596900"/>
            </a:xfrm>
            <a:prstGeom prst="round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	AVERAGE SALES</a:t>
              </a:r>
            </a:p>
          </xdr:txBody>
        </xdr:sp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BE2F7852-9937-DE86-32E0-BE7584F69592}"/>
                </a:ext>
              </a:extLst>
            </xdr:cNvPr>
            <xdr:cNvGrpSpPr/>
          </xdr:nvGrpSpPr>
          <xdr:grpSpPr>
            <a:xfrm>
              <a:off x="4267200" y="920750"/>
              <a:ext cx="2089150" cy="596900"/>
              <a:chOff x="4267200" y="920750"/>
              <a:chExt cx="2089150" cy="596900"/>
            </a:xfrm>
          </xdr:grpSpPr>
          <xdr:sp macro="" textlink="">
            <xdr:nvSpPr>
              <xdr:cNvPr id="6" name="Rectangle: Rounded Corners 5">
                <a:extLst>
                  <a:ext uri="{FF2B5EF4-FFF2-40B4-BE49-F238E27FC236}">
                    <a16:creationId xmlns:a16="http://schemas.microsoft.com/office/drawing/2014/main" id="{E0B9719B-26E7-4BA5-A49C-EB8FF635892B}"/>
                  </a:ext>
                </a:extLst>
              </xdr:cNvPr>
              <xdr:cNvSpPr/>
            </xdr:nvSpPr>
            <xdr:spPr>
              <a:xfrm>
                <a:off x="4267200" y="920750"/>
                <a:ext cx="2089150" cy="596900"/>
              </a:xfrm>
              <a:prstGeom prst="roundRect">
                <a:avLst/>
              </a:prstGeom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US" sz="1100"/>
                  <a:t>TOTAL</a:t>
                </a:r>
                <a:r>
                  <a:rPr lang="en-US" sz="1100" baseline="0"/>
                  <a:t> UNI   TOTAL UNIT PRICE</a:t>
                </a:r>
                <a:endParaRPr lang="en-US" sz="1100"/>
              </a:p>
            </xdr:txBody>
          </xdr:sp>
          <xdr:sp macro="" textlink="">
            <xdr:nvSpPr>
              <xdr:cNvPr id="10" name="Rectangle: Rounded Corners 9">
                <a:extLst>
                  <a:ext uri="{FF2B5EF4-FFF2-40B4-BE49-F238E27FC236}">
                    <a16:creationId xmlns:a16="http://schemas.microsoft.com/office/drawing/2014/main" id="{15A6560B-991D-4D01-9086-9D65524938F7}"/>
                  </a:ext>
                </a:extLst>
              </xdr:cNvPr>
              <xdr:cNvSpPr/>
            </xdr:nvSpPr>
            <xdr:spPr>
              <a:xfrm>
                <a:off x="4267200" y="920750"/>
                <a:ext cx="730250" cy="596900"/>
              </a:xfrm>
              <a:prstGeom prst="roundRect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1" name="Rectangle: Rounded Corners 10">
              <a:extLst>
                <a:ext uri="{FF2B5EF4-FFF2-40B4-BE49-F238E27FC236}">
                  <a16:creationId xmlns:a16="http://schemas.microsoft.com/office/drawing/2014/main" id="{4CD24FC3-60F4-4A6C-88F7-B857365F0915}"/>
                </a:ext>
              </a:extLst>
            </xdr:cNvPr>
            <xdr:cNvSpPr/>
          </xdr:nvSpPr>
          <xdr:spPr>
            <a:xfrm>
              <a:off x="6705600" y="920750"/>
              <a:ext cx="730250" cy="596900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A4063E12-7C40-4A68-BFF6-E1C7E43F29D4}"/>
              </a:ext>
            </a:extLst>
          </xdr:cNvPr>
          <xdr:cNvSpPr/>
        </xdr:nvSpPr>
        <xdr:spPr>
          <a:xfrm>
            <a:off x="9144000" y="920750"/>
            <a:ext cx="730250" cy="59690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12700</xdr:colOff>
      <xdr:row>9</xdr:row>
      <xdr:rowOff>76200</xdr:rowOff>
    </xdr:from>
    <xdr:to>
      <xdr:col>6</xdr:col>
      <xdr:colOff>19050</xdr:colOff>
      <xdr:row>20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15D7407-9AD3-4B8D-8D10-EDF52F8AC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11</xdr:col>
      <xdr:colOff>234950</xdr:colOff>
      <xdr:row>19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B3D704A-8FDC-4804-81AD-5904DCF99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444500</xdr:colOff>
      <xdr:row>9</xdr:row>
      <xdr:rowOff>12700</xdr:rowOff>
    </xdr:from>
    <xdr:to>
      <xdr:col>21</xdr:col>
      <xdr:colOff>228600</xdr:colOff>
      <xdr:row>17</xdr:row>
      <xdr:rowOff>165100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E0495D6-2FC9-43BA-9CD1-1F3F493E3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10</xdr:row>
      <xdr:rowOff>0</xdr:rowOff>
    </xdr:from>
    <xdr:to>
      <xdr:col>29</xdr:col>
      <xdr:colOff>304800</xdr:colOff>
      <xdr:row>24</xdr:row>
      <xdr:rowOff>165100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1DA0A7F-BE47-4E8C-AC8D-6C2D43E2E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2.971788888892" createdVersion="8" refreshedVersion="8" minRefreshableVersion="3" recordCount="24" xr:uid="{2AD6170A-A1A6-425E-8101-21E898238488}">
  <cacheSource type="worksheet">
    <worksheetSource name="Table1"/>
  </cacheSource>
  <cacheFields count="9">
    <cacheField name="DATE" numFmtId="14">
      <sharedItems containsSemiMixedTypes="0" containsNonDate="0" containsDate="1" containsString="0" minDate="2020-01-02T00:00:00" maxDate="2020-06-06T00:00:00" count="24">
        <d v="2020-01-02T00:00:00"/>
        <d v="2020-01-03T00:00:00"/>
        <d v="2020-01-04T00:00:00"/>
        <d v="2020-01-05T00:00:00"/>
        <d v="2020-02-02T00:00:00"/>
        <d v="2020-02-03T00:00:00"/>
        <d v="2020-02-04T00:00:00"/>
        <d v="2020-02-05T00:00:00"/>
        <d v="2020-03-02T00:00:00"/>
        <d v="2020-03-03T00:00:00"/>
        <d v="2020-03-04T00:00:00"/>
        <d v="2020-03-05T00:00:00"/>
        <d v="2020-04-02T00:00:00"/>
        <d v="2020-04-03T00:00:00"/>
        <d v="2020-04-04T00:00:00"/>
        <d v="2020-04-05T00:00:00"/>
        <d v="2020-05-02T00:00:00"/>
        <d v="2020-05-03T00:00:00"/>
        <d v="2020-05-04T00:00:00"/>
        <d v="2020-05-05T00:00:00"/>
        <d v="2020-06-02T00:00:00"/>
        <d v="2020-06-03T00:00:00"/>
        <d v="2020-06-04T00:00:00"/>
        <d v="2020-06-05T00:00:00"/>
      </sharedItems>
      <fieldGroup par="8"/>
    </cacheField>
    <cacheField name="COMPANY" numFmtId="0">
      <sharedItems count="4">
        <s v="AMUL"/>
        <s v="ARUN"/>
        <s v="DAIRY FUN"/>
        <s v="QUALITY WALLS"/>
      </sharedItems>
    </cacheField>
    <cacheField name="BRANCH" numFmtId="0">
      <sharedItems count="6">
        <s v="ONGOLE"/>
        <s v="NRT"/>
        <s v="CPT"/>
        <s v="GUNTUR"/>
        <s v="PDG"/>
        <s v="STP"/>
      </sharedItems>
    </cacheField>
    <cacheField name="PRODUCT" numFmtId="0">
      <sharedItems count="3">
        <s v="MILK"/>
        <s v="ICECREAM"/>
        <s v="CURD"/>
      </sharedItems>
    </cacheField>
    <cacheField name="UNITS" numFmtId="0">
      <sharedItems containsSemiMixedTypes="0" containsString="0" containsNumber="1" containsInteger="1" minValue="120" maxValue="877"/>
    </cacheField>
    <cacheField name="UNIT PRICE" numFmtId="164">
      <sharedItems containsSemiMixedTypes="0" containsString="0" containsNumber="1" containsInteger="1" minValue="29" maxValue="60"/>
    </cacheField>
    <cacheField name="REVENUE" numFmtId="164">
      <sharedItems containsSemiMixedTypes="0" containsString="0" containsNumber="1" containsInteger="1" minValue="3840" maxValue="45840"/>
    </cacheField>
    <cacheField name="Days (DATE)" numFmtId="0" databaseField="0">
      <fieldGroup base="0">
        <rangePr groupBy="days" startDate="2020-01-02T00:00:00" endDate="2020-06-06T00:00:00"/>
        <groupItems count="368">
          <s v="&lt;1/2/2020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6/2020"/>
        </groupItems>
      </fieldGroup>
    </cacheField>
    <cacheField name="Months (DATE)" numFmtId="0" databaseField="0">
      <fieldGroup base="0">
        <rangePr groupBy="months" startDate="2020-01-02T00:00:00" endDate="2020-06-06T00:00:00"/>
        <groupItems count="14">
          <s v="&lt;1/2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6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2.981356365737" createdVersion="8" refreshedVersion="8" minRefreshableVersion="3" recordCount="24" xr:uid="{187FDA57-0D8B-4F77-8C01-0CAC19C6BF44}">
  <cacheSource type="worksheet">
    <worksheetSource ref="A1:G25" sheet="DATA SHEET"/>
  </cacheSource>
  <cacheFields count="7">
    <cacheField name="DATE" numFmtId="14">
      <sharedItems containsSemiMixedTypes="0" containsNonDate="0" containsDate="1" containsString="0" minDate="2020-01-02T00:00:00" maxDate="2020-06-06T00:00:00"/>
    </cacheField>
    <cacheField name="COMPANY" numFmtId="0">
      <sharedItems/>
    </cacheField>
    <cacheField name="BRANCH" numFmtId="0">
      <sharedItems count="6">
        <s v="ONGOLE"/>
        <s v="NRT"/>
        <s v="CPT"/>
        <s v="GUNTUR"/>
        <s v="PDG"/>
        <s v="STP"/>
      </sharedItems>
    </cacheField>
    <cacheField name="PRODUCT" numFmtId="0">
      <sharedItems/>
    </cacheField>
    <cacheField name="UNITS" numFmtId="0">
      <sharedItems containsSemiMixedTypes="0" containsString="0" containsNumber="1" containsInteger="1" minValue="120" maxValue="877"/>
    </cacheField>
    <cacheField name="UNIT PRICE" numFmtId="164">
      <sharedItems containsSemiMixedTypes="0" containsString="0" containsNumber="1" containsInteger="1" minValue="29" maxValue="60"/>
    </cacheField>
    <cacheField name="REVENUE" numFmtId="164">
      <sharedItems containsSemiMixedTypes="0" containsString="0" containsNumber="1" containsInteger="1" minValue="3840" maxValue="45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  <n v="200"/>
    <n v="36"/>
    <n v="7200"/>
  </r>
  <r>
    <x v="1"/>
    <x v="1"/>
    <x v="0"/>
    <x v="0"/>
    <n v="120"/>
    <n v="32"/>
    <n v="3840"/>
  </r>
  <r>
    <x v="2"/>
    <x v="2"/>
    <x v="0"/>
    <x v="0"/>
    <n v="230"/>
    <n v="33"/>
    <n v="7590"/>
  </r>
  <r>
    <x v="3"/>
    <x v="3"/>
    <x v="0"/>
    <x v="0"/>
    <n v="340"/>
    <n v="35"/>
    <n v="11900"/>
  </r>
  <r>
    <x v="4"/>
    <x v="0"/>
    <x v="1"/>
    <x v="1"/>
    <n v="456"/>
    <n v="45"/>
    <n v="20520"/>
  </r>
  <r>
    <x v="5"/>
    <x v="1"/>
    <x v="1"/>
    <x v="1"/>
    <n v="435"/>
    <n v="50"/>
    <n v="21750"/>
  </r>
  <r>
    <x v="6"/>
    <x v="2"/>
    <x v="1"/>
    <x v="1"/>
    <n v="645"/>
    <n v="40"/>
    <n v="25800"/>
  </r>
  <r>
    <x v="7"/>
    <x v="3"/>
    <x v="1"/>
    <x v="1"/>
    <n v="764"/>
    <n v="60"/>
    <n v="45840"/>
  </r>
  <r>
    <x v="8"/>
    <x v="0"/>
    <x v="2"/>
    <x v="2"/>
    <n v="674"/>
    <n v="30"/>
    <n v="20220"/>
  </r>
  <r>
    <x v="9"/>
    <x v="1"/>
    <x v="2"/>
    <x v="2"/>
    <n v="654"/>
    <n v="29"/>
    <n v="18966"/>
  </r>
  <r>
    <x v="10"/>
    <x v="2"/>
    <x v="2"/>
    <x v="2"/>
    <n v="323"/>
    <n v="30"/>
    <n v="9690"/>
  </r>
  <r>
    <x v="11"/>
    <x v="3"/>
    <x v="2"/>
    <x v="2"/>
    <n v="234"/>
    <n v="30"/>
    <n v="7020"/>
  </r>
  <r>
    <x v="12"/>
    <x v="0"/>
    <x v="3"/>
    <x v="0"/>
    <n v="234"/>
    <n v="36"/>
    <n v="8424"/>
  </r>
  <r>
    <x v="13"/>
    <x v="1"/>
    <x v="3"/>
    <x v="0"/>
    <n v="453"/>
    <n v="32"/>
    <n v="14496"/>
  </r>
  <r>
    <x v="14"/>
    <x v="2"/>
    <x v="3"/>
    <x v="0"/>
    <n v="657"/>
    <n v="33"/>
    <n v="21681"/>
  </r>
  <r>
    <x v="15"/>
    <x v="3"/>
    <x v="3"/>
    <x v="0"/>
    <n v="768"/>
    <n v="35"/>
    <n v="26880"/>
  </r>
  <r>
    <x v="16"/>
    <x v="0"/>
    <x v="4"/>
    <x v="1"/>
    <n v="321"/>
    <n v="45"/>
    <n v="14445"/>
  </r>
  <r>
    <x v="17"/>
    <x v="1"/>
    <x v="4"/>
    <x v="1"/>
    <n v="454"/>
    <n v="50"/>
    <n v="22700"/>
  </r>
  <r>
    <x v="18"/>
    <x v="2"/>
    <x v="4"/>
    <x v="1"/>
    <n v="454"/>
    <n v="40"/>
    <n v="18160"/>
  </r>
  <r>
    <x v="19"/>
    <x v="3"/>
    <x v="4"/>
    <x v="1"/>
    <n v="546"/>
    <n v="60"/>
    <n v="32760"/>
  </r>
  <r>
    <x v="20"/>
    <x v="0"/>
    <x v="5"/>
    <x v="2"/>
    <n v="877"/>
    <n v="30"/>
    <n v="26310"/>
  </r>
  <r>
    <x v="21"/>
    <x v="1"/>
    <x v="5"/>
    <x v="2"/>
    <n v="675"/>
    <n v="29"/>
    <n v="19575"/>
  </r>
  <r>
    <x v="22"/>
    <x v="2"/>
    <x v="5"/>
    <x v="2"/>
    <n v="355"/>
    <n v="30"/>
    <n v="10650"/>
  </r>
  <r>
    <x v="23"/>
    <x v="3"/>
    <x v="5"/>
    <x v="2"/>
    <n v="256"/>
    <n v="30"/>
    <n v="76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0-01-02T00:00:00"/>
    <s v="AMUL"/>
    <x v="0"/>
    <s v="MILK"/>
    <n v="200"/>
    <n v="36"/>
    <n v="7200"/>
  </r>
  <r>
    <d v="2020-01-03T00:00:00"/>
    <s v="ARUN"/>
    <x v="0"/>
    <s v="MILK"/>
    <n v="120"/>
    <n v="32"/>
    <n v="3840"/>
  </r>
  <r>
    <d v="2020-01-04T00:00:00"/>
    <s v="DAIRY FUN"/>
    <x v="0"/>
    <s v="MILK"/>
    <n v="230"/>
    <n v="33"/>
    <n v="7590"/>
  </r>
  <r>
    <d v="2020-01-05T00:00:00"/>
    <s v="QUALITY WALLS"/>
    <x v="0"/>
    <s v="MILK"/>
    <n v="340"/>
    <n v="35"/>
    <n v="11900"/>
  </r>
  <r>
    <d v="2020-02-02T00:00:00"/>
    <s v="AMUL"/>
    <x v="1"/>
    <s v="ICECREAM"/>
    <n v="456"/>
    <n v="45"/>
    <n v="20520"/>
  </r>
  <r>
    <d v="2020-02-03T00:00:00"/>
    <s v="ARUN"/>
    <x v="1"/>
    <s v="ICECREAM"/>
    <n v="435"/>
    <n v="50"/>
    <n v="21750"/>
  </r>
  <r>
    <d v="2020-02-04T00:00:00"/>
    <s v="DAIRY FUN"/>
    <x v="1"/>
    <s v="ICECREAM"/>
    <n v="645"/>
    <n v="40"/>
    <n v="25800"/>
  </r>
  <r>
    <d v="2020-02-05T00:00:00"/>
    <s v="QUALITY WALLS"/>
    <x v="1"/>
    <s v="ICECREAM"/>
    <n v="764"/>
    <n v="60"/>
    <n v="45840"/>
  </r>
  <r>
    <d v="2020-03-02T00:00:00"/>
    <s v="AMUL"/>
    <x v="2"/>
    <s v="CURD"/>
    <n v="674"/>
    <n v="30"/>
    <n v="20220"/>
  </r>
  <r>
    <d v="2020-03-03T00:00:00"/>
    <s v="ARUN"/>
    <x v="2"/>
    <s v="CURD"/>
    <n v="654"/>
    <n v="29"/>
    <n v="18966"/>
  </r>
  <r>
    <d v="2020-03-04T00:00:00"/>
    <s v="DAIRY FUN"/>
    <x v="2"/>
    <s v="CURD"/>
    <n v="323"/>
    <n v="30"/>
    <n v="9690"/>
  </r>
  <r>
    <d v="2020-03-05T00:00:00"/>
    <s v="QUALITY WALLS"/>
    <x v="2"/>
    <s v="CURD"/>
    <n v="234"/>
    <n v="30"/>
    <n v="7020"/>
  </r>
  <r>
    <d v="2020-04-02T00:00:00"/>
    <s v="AMUL"/>
    <x v="3"/>
    <s v="MILK"/>
    <n v="234"/>
    <n v="36"/>
    <n v="8424"/>
  </r>
  <r>
    <d v="2020-04-03T00:00:00"/>
    <s v="ARUN"/>
    <x v="3"/>
    <s v="MILK"/>
    <n v="453"/>
    <n v="32"/>
    <n v="14496"/>
  </r>
  <r>
    <d v="2020-04-04T00:00:00"/>
    <s v="DAIRY FUN"/>
    <x v="3"/>
    <s v="MILK"/>
    <n v="657"/>
    <n v="33"/>
    <n v="21681"/>
  </r>
  <r>
    <d v="2020-04-05T00:00:00"/>
    <s v="QUALITY WALLS"/>
    <x v="3"/>
    <s v="MILK"/>
    <n v="768"/>
    <n v="35"/>
    <n v="26880"/>
  </r>
  <r>
    <d v="2020-05-02T00:00:00"/>
    <s v="AMUL"/>
    <x v="4"/>
    <s v="ICECREAM"/>
    <n v="321"/>
    <n v="45"/>
    <n v="14445"/>
  </r>
  <r>
    <d v="2020-05-03T00:00:00"/>
    <s v="ARUN"/>
    <x v="4"/>
    <s v="ICECREAM"/>
    <n v="454"/>
    <n v="50"/>
    <n v="22700"/>
  </r>
  <r>
    <d v="2020-05-04T00:00:00"/>
    <s v="DAIRY FUN"/>
    <x v="4"/>
    <s v="ICECREAM"/>
    <n v="454"/>
    <n v="40"/>
    <n v="18160"/>
  </r>
  <r>
    <d v="2020-05-05T00:00:00"/>
    <s v="QUALITY WALLS"/>
    <x v="4"/>
    <s v="ICECREAM"/>
    <n v="546"/>
    <n v="60"/>
    <n v="32760"/>
  </r>
  <r>
    <d v="2020-06-02T00:00:00"/>
    <s v="AMUL"/>
    <x v="5"/>
    <s v="CURD"/>
    <n v="877"/>
    <n v="30"/>
    <n v="26310"/>
  </r>
  <r>
    <d v="2020-06-03T00:00:00"/>
    <s v="ARUN"/>
    <x v="5"/>
    <s v="CURD"/>
    <n v="675"/>
    <n v="29"/>
    <n v="19575"/>
  </r>
  <r>
    <d v="2020-06-04T00:00:00"/>
    <s v="DAIRY FUN"/>
    <x v="5"/>
    <s v="CURD"/>
    <n v="355"/>
    <n v="30"/>
    <n v="10650"/>
  </r>
  <r>
    <d v="2020-06-05T00:00:00"/>
    <s v="QUALITY WALLS"/>
    <x v="5"/>
    <s v="CURD"/>
    <n v="256"/>
    <n v="30"/>
    <n v="76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CB1AC-AF10-4E74-A763-B6B71D7EF14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D3:E7" firstHeaderRow="1" firstDataRow="1" firstDataCol="1"/>
  <pivotFields count="9">
    <pivotField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7">
        <item x="2"/>
        <item x="3"/>
        <item x="1"/>
        <item x="0"/>
        <item x="4"/>
        <item x="5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numFmtId="164"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 PRICE" fld="5" baseField="0" baseItem="0" numFmtId="164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55D41-89CB-4B30-BAD6-96625C8342C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7">
    <pivotField numFmtId="14" showAll="0"/>
    <pivotField showAll="0"/>
    <pivotField axis="axisRow" showAll="0">
      <items count="7">
        <item x="2"/>
        <item x="3"/>
        <item x="1"/>
        <item x="0"/>
        <item x="4"/>
        <item x="5"/>
        <item t="default"/>
      </items>
    </pivotField>
    <pivotField showAll="0"/>
    <pivotField dataField="1" showAll="0"/>
    <pivotField numFmtId="164" showAll="0"/>
    <pivotField numFmtId="16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6ED9C-494D-451C-8ABE-D613AA09BAD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L3:M20" firstHeaderRow="1" firstDataRow="1" firstDataCol="1"/>
  <pivotFields count="9">
    <pivotField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64" showAll="0"/>
    <pivotField dataField="1"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"/>
    <field x="3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REVENUE" fld="6" baseField="0" baseItem="0" numFmtId="164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FB74F-E29C-4A71-91F4-AFC38394EC0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3:I8" firstHeaderRow="1" firstDataRow="1" firstDataCol="1"/>
  <pivotFields count="9">
    <pivotField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>
      <items count="7">
        <item x="2"/>
        <item x="3"/>
        <item x="1"/>
        <item x="0"/>
        <item x="4"/>
        <item x="5"/>
        <item t="default"/>
      </items>
    </pivotField>
    <pivotField showAll="0">
      <items count="4">
        <item x="2"/>
        <item x="1"/>
        <item x="0"/>
        <item t="default"/>
      </items>
    </pivotField>
    <pivotField dataField="1" showAll="0"/>
    <pivotField numFmtId="164"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F3A12-3487-4F51-8AA5-3E5BCDB0CA54}" name="Table1" displayName="Table1" ref="A1:G26" totalsRowCount="1">
  <autoFilter ref="A1:G25" xr:uid="{5AAF3A12-3487-4F51-8AA5-3E5BCDB0CA54}"/>
  <tableColumns count="7">
    <tableColumn id="1" xr3:uid="{69D67D15-4444-4583-AA40-A1AE900CE4C1}" name="DATE" dataDxfId="6" totalsRowDxfId="5"/>
    <tableColumn id="2" xr3:uid="{AFE0449C-5AEF-4711-9F90-13DAA5697129}" name="COMPANY"/>
    <tableColumn id="3" xr3:uid="{2FA62CE5-5E8B-48E0-97E2-5138F8D0B56F}" name="BRANCH"/>
    <tableColumn id="4" xr3:uid="{BE84CBCC-223D-416E-A457-E877DCECD1EA}" name="PRODUCT"/>
    <tableColumn id="5" xr3:uid="{A6016354-D351-446F-918C-B5147461D6C4}" name="UNITS" totalsRowFunction="custom">
      <totalsRowFormula>SUM(Table1[UNITS])</totalsRowFormula>
    </tableColumn>
    <tableColumn id="6" xr3:uid="{4E4C63DF-E7CD-4427-814A-865C484546F5}" name="UNIT PRICE" totalsRowFunction="custom" dataDxfId="4" totalsRowDxfId="3">
      <totalsRowFormula>SUM(Table1[UNIT PRICE])</totalsRowFormula>
    </tableColumn>
    <tableColumn id="7" xr3:uid="{33B57A93-26E3-4185-8884-F27AF4EC6614}" name="REVENUE" totalsRowFunction="custom" dataDxfId="2" totalsRowDxfId="1">
      <calculatedColumnFormula>SUM(E2*F2)</calculatedColumnFormula>
      <totalsRowFormula>SUM(Table1[REVENUE])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19E110-FBFF-4E2C-957F-582468EDE67E}" name="Table3" displayName="Table3" ref="I2:I11" totalsRowShown="0" tableBorderDxfId="0">
  <autoFilter ref="I2:I11" xr:uid="{A819E110-FBFF-4E2C-957F-582468EDE67E}"/>
  <tableColumns count="1">
    <tableColumn id="1" xr3:uid="{207A8357-30B5-487B-A416-8A6D3A5C3F26}" name="AVERAGE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2F85-BD18-4C14-AF0C-69094E1BE3D1}">
  <dimension ref="A3:M20"/>
  <sheetViews>
    <sheetView tabSelected="1" topLeftCell="C1" workbookViewId="0">
      <selection activeCell="E30" sqref="E30"/>
    </sheetView>
  </sheetViews>
  <sheetFormatPr defaultRowHeight="14.4" x14ac:dyDescent="0.3"/>
  <cols>
    <col min="1" max="1" width="12.33203125" bestFit="1" customWidth="1"/>
    <col min="2" max="3" width="12.109375" bestFit="1" customWidth="1"/>
    <col min="4" max="4" width="12.33203125" bestFit="1" customWidth="1"/>
    <col min="5" max="5" width="16.5546875" bestFit="1" customWidth="1"/>
    <col min="6" max="6" width="12.109375" bestFit="1" customWidth="1"/>
    <col min="8" max="8" width="14.109375" bestFit="1" customWidth="1"/>
    <col min="9" max="9" width="12.109375" bestFit="1" customWidth="1"/>
    <col min="10" max="10" width="15" bestFit="1" customWidth="1"/>
    <col min="12" max="12" width="15.88671875" bestFit="1" customWidth="1"/>
    <col min="13" max="13" width="15" bestFit="1" customWidth="1"/>
  </cols>
  <sheetData>
    <row r="3" spans="1:13" x14ac:dyDescent="0.3">
      <c r="A3" s="3" t="s">
        <v>21</v>
      </c>
      <c r="B3" t="s">
        <v>23</v>
      </c>
      <c r="D3" s="3" t="s">
        <v>21</v>
      </c>
      <c r="E3" t="s">
        <v>24</v>
      </c>
      <c r="H3" s="3" t="s">
        <v>21</v>
      </c>
      <c r="I3" t="s">
        <v>23</v>
      </c>
      <c r="L3" s="3" t="s">
        <v>21</v>
      </c>
      <c r="M3" t="s">
        <v>20</v>
      </c>
    </row>
    <row r="4" spans="1:13" x14ac:dyDescent="0.3">
      <c r="A4" s="4" t="s">
        <v>13</v>
      </c>
      <c r="B4">
        <v>1885</v>
      </c>
      <c r="D4" s="4" t="s">
        <v>18</v>
      </c>
      <c r="E4" s="2">
        <v>238</v>
      </c>
      <c r="H4" s="4" t="s">
        <v>7</v>
      </c>
      <c r="I4">
        <v>2762</v>
      </c>
      <c r="L4" s="4" t="s">
        <v>7</v>
      </c>
      <c r="M4" s="2">
        <v>97119</v>
      </c>
    </row>
    <row r="5" spans="1:13" x14ac:dyDescent="0.3">
      <c r="A5" s="4" t="s">
        <v>14</v>
      </c>
      <c r="B5">
        <v>2112</v>
      </c>
      <c r="D5" s="4" t="s">
        <v>17</v>
      </c>
      <c r="E5" s="2">
        <v>390</v>
      </c>
      <c r="H5" s="4" t="s">
        <v>8</v>
      </c>
      <c r="I5">
        <v>2791</v>
      </c>
      <c r="L5" s="5" t="s">
        <v>18</v>
      </c>
      <c r="M5" s="2">
        <v>46530</v>
      </c>
    </row>
    <row r="6" spans="1:13" x14ac:dyDescent="0.3">
      <c r="A6" s="4" t="s">
        <v>12</v>
      </c>
      <c r="B6">
        <v>2300</v>
      </c>
      <c r="D6" s="4" t="s">
        <v>16</v>
      </c>
      <c r="E6" s="2">
        <v>272</v>
      </c>
      <c r="H6" s="4" t="s">
        <v>9</v>
      </c>
      <c r="I6">
        <v>2664</v>
      </c>
      <c r="L6" s="5" t="s">
        <v>17</v>
      </c>
      <c r="M6" s="2">
        <v>34965</v>
      </c>
    </row>
    <row r="7" spans="1:13" x14ac:dyDescent="0.3">
      <c r="A7" s="4" t="s">
        <v>11</v>
      </c>
      <c r="B7">
        <v>890</v>
      </c>
      <c r="D7" s="4" t="s">
        <v>22</v>
      </c>
      <c r="E7" s="2">
        <v>900</v>
      </c>
      <c r="H7" s="4" t="s">
        <v>10</v>
      </c>
      <c r="I7">
        <v>2908</v>
      </c>
      <c r="L7" s="5" t="s">
        <v>16</v>
      </c>
      <c r="M7" s="2">
        <v>15624</v>
      </c>
    </row>
    <row r="8" spans="1:13" x14ac:dyDescent="0.3">
      <c r="A8" s="4" t="s">
        <v>15</v>
      </c>
      <c r="B8">
        <v>1775</v>
      </c>
      <c r="H8" s="4" t="s">
        <v>22</v>
      </c>
      <c r="I8">
        <v>11125</v>
      </c>
      <c r="L8" s="4" t="s">
        <v>8</v>
      </c>
      <c r="M8" s="2">
        <v>101327</v>
      </c>
    </row>
    <row r="9" spans="1:13" x14ac:dyDescent="0.3">
      <c r="A9" s="4" t="s">
        <v>19</v>
      </c>
      <c r="B9">
        <v>2163</v>
      </c>
      <c r="L9" s="5" t="s">
        <v>18</v>
      </c>
      <c r="M9" s="2">
        <v>38541</v>
      </c>
    </row>
    <row r="10" spans="1:13" x14ac:dyDescent="0.3">
      <c r="A10" s="4" t="s">
        <v>22</v>
      </c>
      <c r="B10">
        <v>11125</v>
      </c>
      <c r="L10" s="5" t="s">
        <v>17</v>
      </c>
      <c r="M10" s="2">
        <v>44450</v>
      </c>
    </row>
    <row r="11" spans="1:13" x14ac:dyDescent="0.3">
      <c r="L11" s="5" t="s">
        <v>16</v>
      </c>
      <c r="M11" s="2">
        <v>18336</v>
      </c>
    </row>
    <row r="12" spans="1:13" x14ac:dyDescent="0.3">
      <c r="L12" s="4" t="s">
        <v>9</v>
      </c>
      <c r="M12" s="2">
        <v>93571</v>
      </c>
    </row>
    <row r="13" spans="1:13" x14ac:dyDescent="0.3">
      <c r="L13" s="5" t="s">
        <v>18</v>
      </c>
      <c r="M13" s="2">
        <v>20340</v>
      </c>
    </row>
    <row r="14" spans="1:13" x14ac:dyDescent="0.3">
      <c r="L14" s="5" t="s">
        <v>17</v>
      </c>
      <c r="M14" s="2">
        <v>43960</v>
      </c>
    </row>
    <row r="15" spans="1:13" x14ac:dyDescent="0.3">
      <c r="L15" s="5" t="s">
        <v>16</v>
      </c>
      <c r="M15" s="2">
        <v>29271</v>
      </c>
    </row>
    <row r="16" spans="1:13" x14ac:dyDescent="0.3">
      <c r="L16" s="4" t="s">
        <v>10</v>
      </c>
      <c r="M16" s="2">
        <v>132080</v>
      </c>
    </row>
    <row r="17" spans="12:13" x14ac:dyDescent="0.3">
      <c r="L17" s="5" t="s">
        <v>18</v>
      </c>
      <c r="M17" s="2">
        <v>14700</v>
      </c>
    </row>
    <row r="18" spans="12:13" x14ac:dyDescent="0.3">
      <c r="L18" s="5" t="s">
        <v>17</v>
      </c>
      <c r="M18" s="2">
        <v>78600</v>
      </c>
    </row>
    <row r="19" spans="12:13" x14ac:dyDescent="0.3">
      <c r="L19" s="5" t="s">
        <v>16</v>
      </c>
      <c r="M19" s="2">
        <v>38780</v>
      </c>
    </row>
    <row r="20" spans="12:13" x14ac:dyDescent="0.3">
      <c r="L20" s="4" t="s">
        <v>22</v>
      </c>
      <c r="M20" s="2">
        <v>424097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D899-9688-47DD-BE19-39B9CB9A646F}">
  <dimension ref="A1:L26"/>
  <sheetViews>
    <sheetView zoomScale="53" workbookViewId="0">
      <selection activeCell="J50" sqref="J50"/>
    </sheetView>
  </sheetViews>
  <sheetFormatPr defaultRowHeight="14.4" x14ac:dyDescent="0.3"/>
  <cols>
    <col min="1" max="1" width="13.5546875" bestFit="1" customWidth="1"/>
    <col min="2" max="2" width="14.109375" bestFit="1" customWidth="1"/>
    <col min="3" max="3" width="9.77734375" customWidth="1"/>
    <col min="4" max="4" width="11" customWidth="1"/>
    <col min="5" max="5" width="7.77734375" customWidth="1"/>
    <col min="6" max="6" width="12.21875" customWidth="1"/>
    <col min="7" max="7" width="17.33203125" bestFit="1" customWidth="1"/>
    <col min="9" max="9" width="28.88671875" bestFit="1" customWidth="1"/>
    <col min="12" max="12" width="9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3">
      <c r="A2" s="1">
        <v>43832</v>
      </c>
      <c r="B2" t="s">
        <v>7</v>
      </c>
      <c r="C2" t="s">
        <v>11</v>
      </c>
      <c r="D2" t="s">
        <v>16</v>
      </c>
      <c r="E2">
        <v>200</v>
      </c>
      <c r="F2" s="2">
        <v>36</v>
      </c>
      <c r="G2" s="2">
        <f>SUM(E2*F2)</f>
        <v>7200</v>
      </c>
      <c r="I2" t="s">
        <v>25</v>
      </c>
    </row>
    <row r="3" spans="1:12" x14ac:dyDescent="0.3">
      <c r="A3" s="1">
        <v>43833</v>
      </c>
      <c r="B3" t="s">
        <v>8</v>
      </c>
      <c r="C3" t="s">
        <v>11</v>
      </c>
      <c r="D3" t="s">
        <v>16</v>
      </c>
      <c r="E3">
        <v>120</v>
      </c>
      <c r="F3" s="2">
        <v>32</v>
      </c>
      <c r="G3" s="2">
        <f t="shared" ref="G3:G24" si="0">SUM(E3*F3)</f>
        <v>3840</v>
      </c>
      <c r="I3" s="6" t="s">
        <v>26</v>
      </c>
    </row>
    <row r="4" spans="1:12" x14ac:dyDescent="0.3">
      <c r="A4" s="1">
        <v>43834</v>
      </c>
      <c r="B4" t="s">
        <v>9</v>
      </c>
      <c r="C4" t="s">
        <v>11</v>
      </c>
      <c r="D4" t="s">
        <v>16</v>
      </c>
      <c r="E4">
        <v>230</v>
      </c>
      <c r="F4" s="2">
        <v>33</v>
      </c>
      <c r="G4" s="2">
        <f t="shared" si="0"/>
        <v>7590</v>
      </c>
      <c r="I4" s="7">
        <f>AVERAGE(G2,G6,G10,G14,G18,G22)</f>
        <v>16186.5</v>
      </c>
      <c r="L4" s="7"/>
    </row>
    <row r="5" spans="1:12" x14ac:dyDescent="0.3">
      <c r="A5" s="1">
        <v>43835</v>
      </c>
      <c r="B5" t="s">
        <v>10</v>
      </c>
      <c r="C5" t="s">
        <v>11</v>
      </c>
      <c r="D5" t="s">
        <v>16</v>
      </c>
      <c r="E5">
        <v>340</v>
      </c>
      <c r="F5" s="2">
        <v>35</v>
      </c>
      <c r="G5" s="2">
        <f t="shared" si="0"/>
        <v>11900</v>
      </c>
      <c r="I5" s="8" t="s">
        <v>27</v>
      </c>
    </row>
    <row r="6" spans="1:12" x14ac:dyDescent="0.3">
      <c r="A6" s="1">
        <v>43863</v>
      </c>
      <c r="B6" t="s">
        <v>7</v>
      </c>
      <c r="C6" t="s">
        <v>12</v>
      </c>
      <c r="D6" t="s">
        <v>17</v>
      </c>
      <c r="E6">
        <v>456</v>
      </c>
      <c r="F6" s="2">
        <v>45</v>
      </c>
      <c r="G6" s="2">
        <f t="shared" si="0"/>
        <v>20520</v>
      </c>
      <c r="I6" s="7">
        <f>AVERAGE(G3,G7,G11,G15,G19,G23,)</f>
        <v>14475.285714285714</v>
      </c>
      <c r="L6" s="7"/>
    </row>
    <row r="7" spans="1:12" x14ac:dyDescent="0.3">
      <c r="A7" s="1">
        <v>43864</v>
      </c>
      <c r="B7" t="s">
        <v>8</v>
      </c>
      <c r="C7" t="s">
        <v>12</v>
      </c>
      <c r="D7" t="s">
        <v>17</v>
      </c>
      <c r="E7">
        <v>435</v>
      </c>
      <c r="F7" s="2">
        <v>50</v>
      </c>
      <c r="G7" s="2">
        <f t="shared" si="0"/>
        <v>21750</v>
      </c>
      <c r="I7" s="8" t="s">
        <v>28</v>
      </c>
    </row>
    <row r="8" spans="1:12" x14ac:dyDescent="0.3">
      <c r="A8" s="1">
        <v>43865</v>
      </c>
      <c r="B8" t="s">
        <v>9</v>
      </c>
      <c r="C8" t="s">
        <v>12</v>
      </c>
      <c r="D8" t="s">
        <v>17</v>
      </c>
      <c r="E8">
        <v>645</v>
      </c>
      <c r="F8" s="2">
        <v>40</v>
      </c>
      <c r="G8" s="2">
        <f t="shared" si="0"/>
        <v>25800</v>
      </c>
      <c r="I8" s="7">
        <f>AVERAGE(G4,Table1[[#This Row],[REVENUE]],G12,G16,G20,G24)</f>
        <v>15595.166666666666</v>
      </c>
      <c r="L8" s="7"/>
    </row>
    <row r="9" spans="1:12" x14ac:dyDescent="0.3">
      <c r="A9" s="1">
        <v>43866</v>
      </c>
      <c r="B9" t="s">
        <v>10</v>
      </c>
      <c r="C9" t="s">
        <v>12</v>
      </c>
      <c r="D9" t="s">
        <v>17</v>
      </c>
      <c r="E9">
        <v>764</v>
      </c>
      <c r="F9" s="2">
        <v>60</v>
      </c>
      <c r="G9" s="2">
        <f t="shared" si="0"/>
        <v>45840</v>
      </c>
      <c r="I9" s="8"/>
    </row>
    <row r="10" spans="1:12" x14ac:dyDescent="0.3">
      <c r="A10" s="1">
        <v>43892</v>
      </c>
      <c r="B10" t="s">
        <v>7</v>
      </c>
      <c r="C10" t="s">
        <v>13</v>
      </c>
      <c r="D10" t="s">
        <v>18</v>
      </c>
      <c r="E10">
        <v>674</v>
      </c>
      <c r="F10" s="2">
        <v>30</v>
      </c>
      <c r="G10" s="2">
        <f t="shared" si="0"/>
        <v>20220</v>
      </c>
      <c r="I10" s="9" t="s">
        <v>29</v>
      </c>
    </row>
    <row r="11" spans="1:12" x14ac:dyDescent="0.3">
      <c r="A11" s="1">
        <v>43893</v>
      </c>
      <c r="B11" t="s">
        <v>8</v>
      </c>
      <c r="C11" t="s">
        <v>13</v>
      </c>
      <c r="D11" t="s">
        <v>18</v>
      </c>
      <c r="E11">
        <v>654</v>
      </c>
      <c r="F11" s="2">
        <v>29</v>
      </c>
      <c r="G11" s="2">
        <f t="shared" si="0"/>
        <v>18966</v>
      </c>
      <c r="I11" s="11">
        <f>AVERAGE(G5,G9,G13,G17,G21,G25)</f>
        <v>22013.333333333332</v>
      </c>
      <c r="L11" s="10"/>
    </row>
    <row r="12" spans="1:12" x14ac:dyDescent="0.3">
      <c r="A12" s="1">
        <v>43894</v>
      </c>
      <c r="B12" t="s">
        <v>9</v>
      </c>
      <c r="C12" t="s">
        <v>13</v>
      </c>
      <c r="D12" t="s">
        <v>18</v>
      </c>
      <c r="E12">
        <v>323</v>
      </c>
      <c r="F12" s="2">
        <v>30</v>
      </c>
      <c r="G12" s="2">
        <f t="shared" si="0"/>
        <v>9690</v>
      </c>
    </row>
    <row r="13" spans="1:12" x14ac:dyDescent="0.3">
      <c r="A13" s="1">
        <v>43895</v>
      </c>
      <c r="B13" t="s">
        <v>10</v>
      </c>
      <c r="C13" t="s">
        <v>13</v>
      </c>
      <c r="D13" t="s">
        <v>18</v>
      </c>
      <c r="E13">
        <v>234</v>
      </c>
      <c r="F13" s="2">
        <v>30</v>
      </c>
      <c r="G13" s="2">
        <f t="shared" si="0"/>
        <v>7020</v>
      </c>
    </row>
    <row r="14" spans="1:12" x14ac:dyDescent="0.3">
      <c r="A14" s="1">
        <v>43923</v>
      </c>
      <c r="B14" t="s">
        <v>7</v>
      </c>
      <c r="C14" t="s">
        <v>14</v>
      </c>
      <c r="D14" t="s">
        <v>16</v>
      </c>
      <c r="E14">
        <v>234</v>
      </c>
      <c r="F14" s="2">
        <v>36</v>
      </c>
      <c r="G14" s="2">
        <f t="shared" si="0"/>
        <v>8424</v>
      </c>
    </row>
    <row r="15" spans="1:12" x14ac:dyDescent="0.3">
      <c r="A15" s="1">
        <v>43924</v>
      </c>
      <c r="B15" t="s">
        <v>8</v>
      </c>
      <c r="C15" t="s">
        <v>14</v>
      </c>
      <c r="D15" t="s">
        <v>16</v>
      </c>
      <c r="E15">
        <v>453</v>
      </c>
      <c r="F15" s="2">
        <v>32</v>
      </c>
      <c r="G15" s="2">
        <f t="shared" si="0"/>
        <v>14496</v>
      </c>
    </row>
    <row r="16" spans="1:12" x14ac:dyDescent="0.3">
      <c r="A16" s="1">
        <v>43925</v>
      </c>
      <c r="B16" t="s">
        <v>9</v>
      </c>
      <c r="C16" t="s">
        <v>14</v>
      </c>
      <c r="D16" t="s">
        <v>16</v>
      </c>
      <c r="E16">
        <v>657</v>
      </c>
      <c r="F16" s="2">
        <v>33</v>
      </c>
      <c r="G16" s="2">
        <f t="shared" si="0"/>
        <v>21681</v>
      </c>
    </row>
    <row r="17" spans="1:7" x14ac:dyDescent="0.3">
      <c r="A17" s="1">
        <v>43926</v>
      </c>
      <c r="B17" t="s">
        <v>10</v>
      </c>
      <c r="C17" t="s">
        <v>14</v>
      </c>
      <c r="D17" t="s">
        <v>16</v>
      </c>
      <c r="E17">
        <v>768</v>
      </c>
      <c r="F17" s="2">
        <v>35</v>
      </c>
      <c r="G17" s="2">
        <f t="shared" si="0"/>
        <v>26880</v>
      </c>
    </row>
    <row r="18" spans="1:7" x14ac:dyDescent="0.3">
      <c r="A18" s="1">
        <v>43953</v>
      </c>
      <c r="B18" t="s">
        <v>7</v>
      </c>
      <c r="C18" t="s">
        <v>15</v>
      </c>
      <c r="D18" t="s">
        <v>17</v>
      </c>
      <c r="E18">
        <v>321</v>
      </c>
      <c r="F18" s="2">
        <v>45</v>
      </c>
      <c r="G18" s="2">
        <f t="shared" si="0"/>
        <v>14445</v>
      </c>
    </row>
    <row r="19" spans="1:7" x14ac:dyDescent="0.3">
      <c r="A19" s="1">
        <v>43954</v>
      </c>
      <c r="B19" t="s">
        <v>8</v>
      </c>
      <c r="C19" t="s">
        <v>15</v>
      </c>
      <c r="D19" t="s">
        <v>17</v>
      </c>
      <c r="E19">
        <v>454</v>
      </c>
      <c r="F19" s="2">
        <v>50</v>
      </c>
      <c r="G19" s="2">
        <f t="shared" si="0"/>
        <v>22700</v>
      </c>
    </row>
    <row r="20" spans="1:7" x14ac:dyDescent="0.3">
      <c r="A20" s="1">
        <v>43955</v>
      </c>
      <c r="B20" t="s">
        <v>9</v>
      </c>
      <c r="C20" t="s">
        <v>15</v>
      </c>
      <c r="D20" t="s">
        <v>17</v>
      </c>
      <c r="E20">
        <v>454</v>
      </c>
      <c r="F20" s="2">
        <v>40</v>
      </c>
      <c r="G20" s="2">
        <f t="shared" si="0"/>
        <v>18160</v>
      </c>
    </row>
    <row r="21" spans="1:7" x14ac:dyDescent="0.3">
      <c r="A21" s="1">
        <v>43956</v>
      </c>
      <c r="B21" t="s">
        <v>10</v>
      </c>
      <c r="C21" t="s">
        <v>15</v>
      </c>
      <c r="D21" t="s">
        <v>17</v>
      </c>
      <c r="E21">
        <v>546</v>
      </c>
      <c r="F21" s="2">
        <v>60</v>
      </c>
      <c r="G21" s="2">
        <f t="shared" si="0"/>
        <v>32760</v>
      </c>
    </row>
    <row r="22" spans="1:7" x14ac:dyDescent="0.3">
      <c r="A22" s="1">
        <v>43984</v>
      </c>
      <c r="B22" t="s">
        <v>7</v>
      </c>
      <c r="C22" t="s">
        <v>19</v>
      </c>
      <c r="D22" t="s">
        <v>18</v>
      </c>
      <c r="E22">
        <v>877</v>
      </c>
      <c r="F22" s="2">
        <v>30</v>
      </c>
      <c r="G22" s="2">
        <f t="shared" si="0"/>
        <v>26310</v>
      </c>
    </row>
    <row r="23" spans="1:7" x14ac:dyDescent="0.3">
      <c r="A23" s="1">
        <v>43985</v>
      </c>
      <c r="B23" t="s">
        <v>8</v>
      </c>
      <c r="C23" t="s">
        <v>19</v>
      </c>
      <c r="D23" t="s">
        <v>18</v>
      </c>
      <c r="E23">
        <v>675</v>
      </c>
      <c r="F23" s="2">
        <v>29</v>
      </c>
      <c r="G23" s="2">
        <f t="shared" si="0"/>
        <v>19575</v>
      </c>
    </row>
    <row r="24" spans="1:7" x14ac:dyDescent="0.3">
      <c r="A24" s="1">
        <v>43986</v>
      </c>
      <c r="B24" t="s">
        <v>9</v>
      </c>
      <c r="C24" t="s">
        <v>19</v>
      </c>
      <c r="D24" t="s">
        <v>18</v>
      </c>
      <c r="E24">
        <v>355</v>
      </c>
      <c r="F24" s="2">
        <v>30</v>
      </c>
      <c r="G24" s="2">
        <f t="shared" si="0"/>
        <v>10650</v>
      </c>
    </row>
    <row r="25" spans="1:7" x14ac:dyDescent="0.3">
      <c r="A25" s="1">
        <v>43987</v>
      </c>
      <c r="B25" t="s">
        <v>10</v>
      </c>
      <c r="C25" t="s">
        <v>19</v>
      </c>
      <c r="D25" t="s">
        <v>18</v>
      </c>
      <c r="E25">
        <v>256</v>
      </c>
      <c r="F25" s="2">
        <v>30</v>
      </c>
      <c r="G25" s="2">
        <f>SUM(E25*F25)</f>
        <v>7680</v>
      </c>
    </row>
    <row r="26" spans="1:7" x14ac:dyDescent="0.3">
      <c r="A26" s="1"/>
      <c r="E26">
        <f>SUM(Table1[UNITS])</f>
        <v>11125</v>
      </c>
      <c r="F26" s="2">
        <f>SUM(Table1[UNIT PRICE])</f>
        <v>900</v>
      </c>
      <c r="G26" s="2">
        <f>SUM(Table1[REVENUE])</f>
        <v>424097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2534-68D2-4568-82D6-1F46C3EB8169}">
  <dimension ref="A1"/>
  <sheetViews>
    <sheetView topLeftCell="C1" workbookViewId="0">
      <selection activeCell="G11" sqref="G11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86102C-C0AB-4883-90B5-B8283D0FFE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DATA SHEET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Santhoshini Athukuri</dc:creator>
  <cp:lastModifiedBy>dharanikotaharshitha7@gmail.com</cp:lastModifiedBy>
  <dcterms:created xsi:type="dcterms:W3CDTF">2026-01-20T17:24:53Z</dcterms:created>
  <dcterms:modified xsi:type="dcterms:W3CDTF">2026-01-28T03:58:16Z</dcterms:modified>
</cp:coreProperties>
</file>